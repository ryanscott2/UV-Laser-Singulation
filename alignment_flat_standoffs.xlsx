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 stand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0;-0.000;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164" fontId="0" fillId="3" borderId="1" pivotButton="0" quotePrefix="0" xfId="0"/>
    <xf numFmtId="165" fontId="5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6" customWidth="1" min="4" max="4"/>
    <col width="16" customWidth="1" min="5" max="5"/>
    <col width="12" customWidth="1" min="6" max="6"/>
    <col width="15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Alignment-line standoffs from wafer flats (100 mm wafer)</t>
        </is>
      </c>
    </row>
    <row r="2" ht="46" customHeight="1">
      <c r="A2" s="2" t="inlineStr">
        <is>
          <t>Standoff = center of the scribed line to the wafer edge at that flat. The bottom (horizontal) line reads the major/primary flat (-Y); the left (vertical) line reads the minor/secondary flat (-X). Top and right lines sit on the plain arc (not flat-referenced). Fill the yellow measured cells during a calibration run; Delta = measured - nominal is the raw per-axis offset.</t>
        </is>
      </c>
    </row>
    <row r="4" ht="32" customHeight="1">
      <c r="A4" s="3" t="inlineStr">
        <is>
          <t>Test</t>
        </is>
      </c>
      <c r="B4" s="3" t="inlineStr">
        <is>
          <t>Line (um x mm)</t>
        </is>
      </c>
      <c r="C4" s="3" t="inlineStr">
        <is>
          <t>Major line y (mm)</t>
        </is>
      </c>
      <c r="D4" s="3" t="inlineStr">
        <is>
          <t>Major standoff (mm)</t>
        </is>
      </c>
      <c r="E4" s="3" t="inlineStr">
        <is>
          <t>Major measured (mm)</t>
        </is>
      </c>
      <c r="F4" s="3" t="inlineStr">
        <is>
          <t>Major Δ (mm)</t>
        </is>
      </c>
      <c r="G4" s="3" t="inlineStr">
        <is>
          <t>Minor line x (mm)</t>
        </is>
      </c>
      <c r="H4" s="3" t="inlineStr">
        <is>
          <t>Minor standoff (mm)</t>
        </is>
      </c>
      <c r="I4" s="3" t="inlineStr">
        <is>
          <t>Minor measured (mm)</t>
        </is>
      </c>
      <c r="J4" s="3" t="inlineStr">
        <is>
          <t>Minor Δ (mm)</t>
        </is>
      </c>
    </row>
    <row r="5">
      <c r="A5" s="4" t="inlineStr">
        <is>
          <t>v1</t>
        </is>
      </c>
      <c r="B5" s="5" t="inlineStr">
        <is>
          <t>50 x 5</t>
        </is>
      </c>
      <c r="C5" s="6" t="n">
        <v>-30</v>
      </c>
      <c r="D5" s="7" t="n">
        <v>17.286</v>
      </c>
      <c r="E5" s="8" t="n"/>
      <c r="F5" s="9">
        <f>IF(E5="","",E5-D5)</f>
        <v/>
      </c>
      <c r="G5" s="6" t="n">
        <v>-40</v>
      </c>
      <c r="H5" s="7" t="n">
        <v>9.183</v>
      </c>
      <c r="I5" s="8" t="n"/>
      <c r="J5" s="9">
        <f>IF(I5="","",I5-H5)</f>
        <v/>
      </c>
    </row>
    <row r="6">
      <c r="A6" s="4" t="inlineStr">
        <is>
          <t>v2</t>
        </is>
      </c>
      <c r="B6" s="5" t="inlineStr">
        <is>
          <t>20 x 10</t>
        </is>
      </c>
      <c r="C6" s="6" t="n">
        <v>-42.286</v>
      </c>
      <c r="D6" s="7" t="n">
        <v>5</v>
      </c>
      <c r="E6" s="8" t="n"/>
      <c r="F6" s="9">
        <f>IF(E6="","",E6-D6)</f>
        <v/>
      </c>
      <c r="G6" s="6" t="n">
        <v>-44.183</v>
      </c>
      <c r="H6" s="7" t="n">
        <v>5</v>
      </c>
      <c r="I6" s="8" t="n"/>
      <c r="J6" s="9">
        <f>IF(I6="","",I6-H6)</f>
        <v/>
      </c>
    </row>
    <row r="7">
      <c r="A7" s="4" t="inlineStr">
        <is>
          <t>v3</t>
        </is>
      </c>
      <c r="B7" s="5" t="inlineStr">
        <is>
          <t>50 x 10</t>
        </is>
      </c>
      <c r="C7" s="6" t="n">
        <v>-27</v>
      </c>
      <c r="D7" s="7" t="n">
        <v>20.286</v>
      </c>
      <c r="E7" s="8" t="n"/>
      <c r="F7" s="9">
        <f>IF(E7="","",E7-D7)</f>
        <v/>
      </c>
      <c r="G7" s="6" t="n">
        <v>-37</v>
      </c>
      <c r="H7" s="7" t="n">
        <v>12.183</v>
      </c>
      <c r="I7" s="8" t="n"/>
      <c r="J7" s="9">
        <f>IF(I7="","",I7-H7)</f>
        <v/>
      </c>
    </row>
    <row r="9">
      <c r="A9" s="10" t="inlineStr">
        <is>
          <t>Reference geometry (100 mm wafer)</t>
        </is>
      </c>
    </row>
    <row r="10">
      <c r="A10" s="11" t="inlineStr">
        <is>
          <t>Wafer radius (mm)</t>
        </is>
      </c>
      <c r="C10" s="12" t="n">
        <v>50</v>
      </c>
    </row>
    <row r="11">
      <c r="A11" s="11" t="inlineStr">
        <is>
          <t>Major (primary) flat length (mm), faces -Y</t>
        </is>
      </c>
      <c r="C11" s="12" t="n">
        <v>32.5</v>
      </c>
    </row>
    <row r="12">
      <c r="A12" s="11" t="inlineStr">
        <is>
          <t>Minor (secondary) flat length (mm), faces -X</t>
        </is>
      </c>
      <c r="C12" s="12" t="n">
        <v>18</v>
      </c>
    </row>
    <row r="13">
      <c r="A13" s="11" t="inlineStr">
        <is>
          <t>Major flat edge, y (mm) = -sqrt(R^2-(major/2)^2)</t>
        </is>
      </c>
      <c r="C13" s="12" t="n">
        <v>-47.286</v>
      </c>
    </row>
    <row r="14">
      <c r="A14" s="11" t="inlineStr">
        <is>
          <t>Minor flat edge, x (mm) = -sqrt(R^2-(minor/2)^2)</t>
        </is>
      </c>
      <c r="C14" s="12" t="n">
        <v>-49.183</v>
      </c>
    </row>
    <row r="16">
      <c r="A16" s="13" t="inlineStr">
        <is>
          <t>Legend: blue = fixed design values; yellow = fill during the calibration run; Delta computes automatically.</t>
        </is>
      </c>
    </row>
    <row r="17">
      <c r="A17" s="13" t="inlineStr">
        <is>
          <t>Standoff = nominal line center minus the flat edge (positive = line sits inboard of the flat).</t>
        </is>
      </c>
    </row>
    <row r="18">
      <c r="A18" s="13" t="inlineStr">
        <is>
          <t>Example: if v1's major line measures 17.45 mm off the flat, Major Delta = +0.164 mm.</t>
        </is>
      </c>
    </row>
    <row r="19">
      <c r="A19" s="13" t="inlineStr">
        <is>
          <t>Delta (measured - nominal) is the raw per-axis shift; apply it per your GLOBAL_X/Y_OFFSET_UM sign convention in python/split_klayout.py.</t>
        </is>
      </c>
    </row>
    <row r="20">
      <c r="A20" s="13" t="inlineStr">
        <is>
          <t>Arc-side lines (not flat-referenced): v1 +-40 / +-30, v2 right x=+42 / top y=+32, v3 +-37 / +-27.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2026-08-13T08:12:27Z</dcterms:created>
  <dcterms:modified xmlns:dcterms="http://purl.org/dc/terms/" xmlns:xsi="http://www.w3.org/2001/XMLSchema-instance" xsi:type="dcterms:W3CDTF">2026-08-13T08:12:27Z</dcterms:modified>
</cp:coreProperties>
</file>