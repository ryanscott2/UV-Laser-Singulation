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228"/>
  <workbookPr/>
  <mc:AlternateContent xmlns:mc="http://schemas.openxmlformats.org/markup-compatibility/2006">
    <mc:Choice Requires="x15">
      <x15ac:absPath xmlns:x15ac="http://schemas.microsoft.com/office/spreadsheetml/2010/11/ac" url="https://office365stanford-my.sharepoint.com/personal/rscott0_stanford_edu/Documents/SU26/UV Laser Singulation/"/>
    </mc:Choice>
  </mc:AlternateContent>
  <xr:revisionPtr revIDLastSave="11" documentId="11_6A427DE7D64704DE6A34E8954E11AEF8BB4D8F62" xr6:coauthVersionLast="47" xr6:coauthVersionMax="47" xr10:uidLastSave="{F4D34386-C289-4C29-9B4C-F8EC8DE3CBEA}"/>
  <bookViews>
    <workbookView xWindow="-98" yWindow="-98" windowWidth="21795" windowHeight="12975" xr2:uid="{00000000-000D-0000-FFFF-FFFF00000000}"/>
  </bookViews>
  <sheets>
    <sheet name="Flat standoffs" sheetId="1" r:id="rId1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</extLst>
</workbook>
</file>

<file path=xl/calcChain.xml><?xml version="1.0" encoding="utf-8"?>
<calcChain xmlns="http://schemas.openxmlformats.org/spreadsheetml/2006/main">
  <c r="E7" i="1" l="1"/>
  <c r="E5" i="1"/>
  <c r="F5" i="1"/>
  <c r="J7" i="1"/>
  <c r="F7" i="1"/>
  <c r="J6" i="1"/>
  <c r="F6" i="1"/>
  <c r="J5" i="1"/>
</calcChain>
</file>

<file path=xl/sharedStrings.xml><?xml version="1.0" encoding="utf-8"?>
<sst xmlns="http://schemas.openxmlformats.org/spreadsheetml/2006/main" count="29" uniqueCount="29">
  <si>
    <t>Alignment-line standoffs from wafer flats (100 mm wafer)</t>
  </si>
  <si>
    <t>Standoff = center of the scribed line to the wafer edge at that flat. The bottom (horizontal) line reads the major/primary flat (-Y); the left (vertical) line reads the minor/secondary flat (-X). Top and right lines sit on the plain arc (not flat-referenced). Fill the yellow measured cells during a calibration run; Delta = measured - nominal is the raw per-axis offset.</t>
  </si>
  <si>
    <t>Test</t>
  </si>
  <si>
    <t>Line (um x mm)</t>
  </si>
  <si>
    <t>Major line y (mm)</t>
  </si>
  <si>
    <t>Major standoff (mm)</t>
  </si>
  <si>
    <t>Major measured (mm)</t>
  </si>
  <si>
    <t>Major Δ (mm)</t>
  </si>
  <si>
    <t>Minor line x (mm)</t>
  </si>
  <si>
    <t>Minor standoff (mm)</t>
  </si>
  <si>
    <t>Minor measured (mm)</t>
  </si>
  <si>
    <t>Minor Δ (mm)</t>
  </si>
  <si>
    <t>v1</t>
  </si>
  <si>
    <t>50 x 5</t>
  </si>
  <si>
    <t>v2</t>
  </si>
  <si>
    <t>20 x 10</t>
  </si>
  <si>
    <t>v3</t>
  </si>
  <si>
    <t>50 x 10</t>
  </si>
  <si>
    <t>Reference geometry (100 mm wafer)</t>
  </si>
  <si>
    <t>Wafer radius (mm)</t>
  </si>
  <si>
    <t>Major (primary) flat length (mm), faces -Y</t>
  </si>
  <si>
    <t>Minor (secondary) flat length (mm), faces -X</t>
  </si>
  <si>
    <t>Major flat edge, y (mm) = -sqrt(R^2-(major/2)^2)</t>
  </si>
  <si>
    <t>Minor flat edge, x (mm) = -sqrt(R^2-(minor/2)^2)</t>
  </si>
  <si>
    <t>Legend: blue = fixed design values; yellow = fill during the calibration run; Delta computes automatically.</t>
  </si>
  <si>
    <t>Standoff = nominal line center minus the flat edge (positive = line sits inboard of the flat).</t>
  </si>
  <si>
    <t>Example: if v1's major line measures 17.45 mm off the flat, Major Delta = +0.164 mm.</t>
  </si>
  <si>
    <t>Delta (measured - nominal) is the raw per-axis shift; apply it per your GLOBAL_X/Y_OFFSET_UM sign convention in python/split_klayout.py.</t>
  </si>
  <si>
    <t>Arc-side lines (not flat-referenced): v1 +-40 / +-30, v2 right x=+42 / top y=+32, v3 +-37 / +-27.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</si>
</sst>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164" formatCode="0.000"/>
    <numFmt numFmtId="165" formatCode="\+0.000;\-0.000;0.000"/>
  </numFmts>
  <fonts count="7" x14ac:knownFonts="1">
    <font>
      <sz val="11"/>
      <color theme="1"/>
      <name val="Calibri"/>
      <family val="2"/>
      <scheme val="minor"/>
    </font>
    <font>
      <b/>
      <sz val="14"/>
      <name val="Arial"/>
    </font>
    <font>
      <i/>
      <sz val="9"/>
      <name val="Arial"/>
    </font>
    <font>
      <b/>
      <sz val="10"/>
      <name val="Arial"/>
    </font>
    <font>
      <b/>
      <sz val="11"/>
      <name val="Arial"/>
    </font>
    <font>
      <sz val="11"/>
      <name val="Arial"/>
    </font>
    <font>
      <sz val="11"/>
      <color rgb="FF0000FF"/>
      <name val="Arial"/>
    </font>
  </fonts>
  <fills count="4">
    <fill>
      <patternFill patternType="none"/>
    </fill>
    <fill>
      <patternFill patternType="gray125"/>
    </fill>
    <fill>
      <patternFill patternType="solid">
        <fgColor rgb="FFD9E1F2"/>
      </patternFill>
    </fill>
    <fill>
      <patternFill patternType="solid">
        <fgColor rgb="FFFFF2CC"/>
      </patternFill>
    </fill>
  </fills>
  <borders count="2">
    <border>
      <left/>
      <right/>
      <top/>
      <bottom/>
      <diagonal/>
    </border>
    <border>
      <left style="thin">
        <color rgb="FFBFBFBF"/>
      </left>
      <right style="thin">
        <color rgb="FFBFBFBF"/>
      </right>
      <top style="thin">
        <color rgb="FFBFBFBF"/>
      </top>
      <bottom style="thin">
        <color rgb="FFBFBFBF"/>
      </bottom>
      <diagonal/>
    </border>
  </borders>
  <cellStyleXfs count="1">
    <xf numFmtId="0" fontId="0" fillId="0" borderId="0"/>
  </cellStyleXfs>
  <cellXfs count="15">
    <xf numFmtId="0" fontId="0" fillId="0" borderId="0" xfId="0"/>
    <xf numFmtId="0" fontId="3" fillId="2" borderId="1" xfId="0" applyFont="1" applyFill="1" applyBorder="1" applyAlignment="1">
      <alignment horizontal="center" vertical="center" wrapText="1"/>
    </xf>
    <xf numFmtId="0" fontId="4" fillId="0" borderId="1" xfId="0" applyFont="1" applyBorder="1"/>
    <xf numFmtId="0" fontId="5" fillId="0" borderId="1" xfId="0" applyFont="1" applyBorder="1"/>
    <xf numFmtId="164" fontId="6" fillId="0" borderId="1" xfId="0" applyNumberFormat="1" applyFont="1" applyBorder="1"/>
    <xf numFmtId="164" fontId="5" fillId="0" borderId="1" xfId="0" applyNumberFormat="1" applyFont="1" applyBorder="1"/>
    <xf numFmtId="164" fontId="0" fillId="3" borderId="1" xfId="0" applyNumberFormat="1" applyFill="1" applyBorder="1"/>
    <xf numFmtId="165" fontId="5" fillId="0" borderId="1" xfId="0" applyNumberFormat="1" applyFont="1" applyBorder="1"/>
    <xf numFmtId="0" fontId="3" fillId="0" borderId="0" xfId="0" applyFont="1"/>
    <xf numFmtId="0" fontId="5" fillId="0" borderId="0" xfId="0" applyFont="1"/>
    <xf numFmtId="164" fontId="5" fillId="0" borderId="0" xfId="0" applyNumberFormat="1" applyFont="1"/>
    <xf numFmtId="0" fontId="2" fillId="0" borderId="0" xfId="0" applyFont="1"/>
    <xf numFmtId="0" fontId="1" fillId="0" borderId="0" xfId="0" applyFont="1"/>
    <xf numFmtId="0" fontId="0" fillId="0" borderId="0" xfId="0"/>
    <xf numFmtId="0" fontId="2" fillId="0" borderId="0" xfId="0" applyFont="1" applyAlignment="1">
      <alignment vertical="top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3" Type="http://schemas.openxmlformats.org/officeDocument/2006/relationships/styles" Target="styles.xml"/><Relationship Id="rId2" Type="http://schemas.openxmlformats.org/officeDocument/2006/relationships/theme" Target="theme/theme1.xml"/><Relationship Id="rId1" Type="http://schemas.openxmlformats.org/officeDocument/2006/relationships/worksheet" Target="worksheets/sheet1.xml"/><Relationship Id="rId5" Type="http://schemas.openxmlformats.org/officeDocument/2006/relationships/calcChain" Target="calcChain.xml"/><Relationship Id="rId4" Type="http://schemas.openxmlformats.org/officeDocument/2006/relationships/sharedStrings" Target="sharedString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J20"/>
  <sheetViews>
    <sheetView tabSelected="1" workbookViewId="0">
      <pane ySplit="4" topLeftCell="A5" activePane="bottomLeft" state="frozen"/>
      <selection pane="bottomLeft" activeCell="F10" sqref="F10"/>
    </sheetView>
  </sheetViews>
  <sheetFormatPr defaultRowHeight="14.25" x14ac:dyDescent="0.45"/>
  <cols>
    <col min="1" max="1" width="7" customWidth="1"/>
    <col min="2" max="2" width="13" customWidth="1"/>
    <col min="3" max="3" width="15" customWidth="1"/>
    <col min="4" max="5" width="16" customWidth="1"/>
    <col min="6" max="6" width="12" customWidth="1"/>
    <col min="7" max="7" width="15" customWidth="1"/>
    <col min="8" max="9" width="16" customWidth="1"/>
    <col min="10" max="10" width="12" customWidth="1"/>
  </cols>
  <sheetData>
    <row r="1" spans="1:10" ht="17.649999999999999" x14ac:dyDescent="0.5">
      <c r="A1" s="12" t="s">
        <v>0</v>
      </c>
      <c r="B1" s="13"/>
      <c r="C1" s="13"/>
      <c r="D1" s="13"/>
      <c r="E1" s="13"/>
      <c r="F1" s="13"/>
      <c r="G1" s="13"/>
      <c r="H1" s="13"/>
      <c r="I1" s="13"/>
      <c r="J1" s="13"/>
    </row>
    <row r="2" spans="1:10" ht="46.05" customHeight="1" x14ac:dyDescent="0.45">
      <c r="A2" s="14" t="s">
        <v>1</v>
      </c>
      <c r="B2" s="13"/>
      <c r="C2" s="13"/>
      <c r="D2" s="13"/>
      <c r="E2" s="13"/>
      <c r="F2" s="13"/>
      <c r="G2" s="13"/>
      <c r="H2" s="13"/>
      <c r="I2" s="13"/>
      <c r="J2" s="13"/>
    </row>
    <row r="4" spans="1:10" ht="32" customHeight="1" x14ac:dyDescent="0.45">
      <c r="A4" s="1" t="s">
        <v>2</v>
      </c>
      <c r="B4" s="1" t="s">
        <v>3</v>
      </c>
      <c r="C4" s="1" t="s">
        <v>4</v>
      </c>
      <c r="D4" s="1" t="s">
        <v>5</v>
      </c>
      <c r="E4" s="1" t="s">
        <v>6</v>
      </c>
      <c r="F4" s="1" t="s">
        <v>7</v>
      </c>
      <c r="G4" s="1" t="s">
        <v>8</v>
      </c>
      <c r="H4" s="1" t="s">
        <v>9</v>
      </c>
      <c r="I4" s="1" t="s">
        <v>10</v>
      </c>
      <c r="J4" s="1" t="s">
        <v>11</v>
      </c>
    </row>
    <row r="5" spans="1:10" x14ac:dyDescent="0.45">
      <c r="A5" s="2" t="s">
        <v>12</v>
      </c>
      <c r="B5" s="3" t="s">
        <v>13</v>
      </c>
      <c r="C5" s="4">
        <v>-30</v>
      </c>
      <c r="D5" s="5">
        <v>17.286000000000001</v>
      </c>
      <c r="E5" s="6">
        <f>(17.09+16.03)/2</f>
        <v>16.560000000000002</v>
      </c>
      <c r="F5" s="7">
        <f>IF(E5="","",E5-D5)</f>
        <v>-0.72599999999999909</v>
      </c>
      <c r="G5" s="4">
        <v>-40</v>
      </c>
      <c r="H5" s="5">
        <v>9.1829999999999998</v>
      </c>
      <c r="I5" s="6">
        <v>8.98</v>
      </c>
      <c r="J5" s="7">
        <f>IF(I5="","",I5-H5)</f>
        <v>-0.2029999999999994</v>
      </c>
    </row>
    <row r="6" spans="1:10" x14ac:dyDescent="0.45">
      <c r="A6" s="2" t="s">
        <v>14</v>
      </c>
      <c r="B6" s="3" t="s">
        <v>15</v>
      </c>
      <c r="C6" s="4">
        <v>-42.286000000000001</v>
      </c>
      <c r="D6" s="5">
        <v>5</v>
      </c>
      <c r="E6" s="6">
        <v>4.45</v>
      </c>
      <c r="F6" s="7">
        <f>IF(E6="","",E6-D6)</f>
        <v>-0.54999999999999982</v>
      </c>
      <c r="G6" s="4">
        <v>-44.183</v>
      </c>
      <c r="H6" s="5">
        <v>5</v>
      </c>
      <c r="I6" s="6">
        <v>4.82</v>
      </c>
      <c r="J6" s="7">
        <f>IF(I6="","",I6-H6)</f>
        <v>-0.17999999999999972</v>
      </c>
    </row>
    <row r="7" spans="1:10" x14ac:dyDescent="0.45">
      <c r="A7" s="2" t="s">
        <v>16</v>
      </c>
      <c r="B7" s="3" t="s">
        <v>17</v>
      </c>
      <c r="C7" s="4">
        <v>-27</v>
      </c>
      <c r="D7" s="5">
        <v>20.286000000000001</v>
      </c>
      <c r="E7" s="6">
        <f>(20.08+19.84)/2</f>
        <v>19.96</v>
      </c>
      <c r="F7" s="7">
        <f>IF(E7="","",E7-D7)</f>
        <v>-0.32600000000000051</v>
      </c>
      <c r="G7" s="4">
        <v>-37</v>
      </c>
      <c r="H7" s="5">
        <v>12.183</v>
      </c>
      <c r="I7" s="6">
        <v>12.01</v>
      </c>
      <c r="J7" s="7">
        <f>IF(I7="","",I7-H7)</f>
        <v>-0.17300000000000004</v>
      </c>
    </row>
    <row r="9" spans="1:10" x14ac:dyDescent="0.45">
      <c r="A9" s="8" t="s">
        <v>18</v>
      </c>
    </row>
    <row r="10" spans="1:10" x14ac:dyDescent="0.45">
      <c r="A10" s="9" t="s">
        <v>19</v>
      </c>
      <c r="C10" s="10">
        <v>50</v>
      </c>
    </row>
    <row r="11" spans="1:10" x14ac:dyDescent="0.45">
      <c r="A11" s="9" t="s">
        <v>20</v>
      </c>
      <c r="C11" s="10">
        <v>32.5</v>
      </c>
    </row>
    <row r="12" spans="1:10" x14ac:dyDescent="0.45">
      <c r="A12" s="9" t="s">
        <v>21</v>
      </c>
      <c r="C12" s="10">
        <v>18</v>
      </c>
    </row>
    <row r="13" spans="1:10" x14ac:dyDescent="0.45">
      <c r="A13" s="9" t="s">
        <v>22</v>
      </c>
      <c r="C13" s="10">
        <v>-47.286000000000001</v>
      </c>
    </row>
    <row r="14" spans="1:10" x14ac:dyDescent="0.45">
      <c r="A14" s="9" t="s">
        <v>23</v>
      </c>
      <c r="C14" s="10">
        <v>-49.183</v>
      </c>
    </row>
    <row r="16" spans="1:10" x14ac:dyDescent="0.45">
      <c r="A16" s="11" t="s">
        <v>24</v>
      </c>
    </row>
    <row r="17" spans="1:1" x14ac:dyDescent="0.45">
      <c r="A17" s="11" t="s">
        <v>25</v>
      </c>
    </row>
    <row r="18" spans="1:1" x14ac:dyDescent="0.45">
      <c r="A18" s="11" t="s">
        <v>26</v>
      </c>
    </row>
    <row r="19" spans="1:1" x14ac:dyDescent="0.45">
      <c r="A19" s="11" t="s">
        <v>27</v>
      </c>
    </row>
    <row r="20" spans="1:1" x14ac:dyDescent="0.45">
      <c r="A20" s="11" t="s">
        <v>28</v>
      </c>
    </row>
  </sheetData>
  <mergeCells count="2">
    <mergeCell ref="A1:J1"/>
    <mergeCell ref="A2:J2"/>
  </mergeCells>
  <pageMargins left="0.75" right="0.75" top="1" bottom="1" header="0.5" footer="0.5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1</vt:i4>
      </vt:variant>
    </vt:vector>
  </HeadingPairs>
  <TitlesOfParts>
    <vt:vector size="1" baseType="lpstr">
      <vt:lpstr>Flat standoffs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Ryan Mark Scott</cp:lastModifiedBy>
  <dcterms:created xsi:type="dcterms:W3CDTF">2026-08-13T08:12:27Z</dcterms:created>
  <dcterms:modified xsi:type="dcterms:W3CDTF">2026-08-14T02:36:12Z</dcterms:modified>
</cp:coreProperties>
</file>